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sherloconan/Documents/UVic/Project Meeting/osfstorage-archive/"/>
    </mc:Choice>
  </mc:AlternateContent>
  <xr:revisionPtr revIDLastSave="0" documentId="13_ncr:1_{5A184582-637E-4943-B9C4-153FD9DC13C5}" xr6:coauthVersionLast="47" xr6:coauthVersionMax="47" xr10:uidLastSave="{00000000-0000-0000-0000-000000000000}"/>
  <bookViews>
    <workbookView xWindow="0" yWindow="560" windowWidth="15960" windowHeight="160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4" i="1" l="1"/>
  <c r="D83" i="1"/>
  <c r="D82" i="1"/>
  <c r="D81" i="1"/>
  <c r="D80" i="1"/>
  <c r="D79" i="1"/>
  <c r="D77" i="1"/>
  <c r="D76" i="1"/>
  <c r="D75" i="1"/>
  <c r="D74" i="1"/>
  <c r="D73" i="1"/>
  <c r="D72" i="1"/>
  <c r="D70" i="1"/>
  <c r="D69" i="1"/>
  <c r="D68" i="1"/>
  <c r="D67" i="1"/>
  <c r="D66" i="1"/>
  <c r="D65" i="1"/>
  <c r="D63" i="1"/>
  <c r="D62" i="1"/>
  <c r="D61" i="1"/>
  <c r="D60" i="1"/>
  <c r="D59" i="1"/>
  <c r="D58" i="1"/>
  <c r="D56" i="1"/>
  <c r="D55" i="1"/>
  <c r="D54" i="1"/>
  <c r="D53" i="1"/>
  <c r="D52" i="1"/>
  <c r="D51" i="1"/>
  <c r="D49" i="1"/>
  <c r="D48" i="1"/>
  <c r="D47" i="1"/>
  <c r="D46" i="1"/>
  <c r="D45" i="1"/>
  <c r="D44" i="1"/>
  <c r="D42" i="1"/>
  <c r="D41" i="1"/>
  <c r="D40" i="1"/>
  <c r="D39" i="1"/>
  <c r="D38" i="1"/>
  <c r="D37" i="1"/>
  <c r="D35" i="1"/>
  <c r="D34" i="1"/>
  <c r="D33" i="1"/>
  <c r="D32" i="1"/>
  <c r="D31" i="1"/>
  <c r="D30" i="1"/>
  <c r="D28" i="1"/>
  <c r="D27" i="1"/>
  <c r="D26" i="1"/>
  <c r="D25" i="1"/>
  <c r="D24" i="1"/>
  <c r="D23" i="1"/>
  <c r="D21" i="1"/>
  <c r="D20" i="1"/>
  <c r="D19" i="1"/>
  <c r="D18" i="1"/>
  <c r="D17" i="1"/>
  <c r="D16" i="1"/>
  <c r="D14" i="1"/>
  <c r="D13" i="1"/>
  <c r="D12" i="1"/>
  <c r="D11" i="1"/>
  <c r="D10" i="1"/>
  <c r="D9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<sst xmlns="http://schemas.openxmlformats.org/spreadsheetml/2006/main" count="77" uniqueCount="77">
  <si>
    <t>rmBayes 0.1.13</t>
  </si>
  <si>
    <t>rmBayes 0.1.15 (updated)</t>
  </si>
  <si>
    <t>percent error (%)</t>
  </si>
  <si>
    <t>CHANGELOG</t>
  </si>
  <si>
    <t>Report 1, BF benchmark</t>
  </si>
  <si>
    <r>
      <rPr>
        <u/>
        <sz val="10"/>
        <color indexed="8"/>
        <rFont val="Helvetica Neue"/>
      </rPr>
      <t>https://zhengxiaouvic.github.io/rmBayes/news/index.html</t>
    </r>
  </si>
  <si>
    <t>Report 1, SEP benchmark</t>
  </si>
  <si>
    <t>Report 1, fitted coefficient 1</t>
  </si>
  <si>
    <t>Report 1, fitted coefficient 2</t>
  </si>
  <si>
    <t>Report 1, fitted coefficient 3</t>
  </si>
  <si>
    <t>Report 1, R-squared</t>
  </si>
  <si>
    <t>Report 2, BF benchmark</t>
  </si>
  <si>
    <t>Report 2, SEP benchmark</t>
  </si>
  <si>
    <t>Report 2, fitted coefficient 1</t>
  </si>
  <si>
    <t>Report 2, fitted coefficient 2</t>
  </si>
  <si>
    <t>Report 2, fitted coefficient 3</t>
  </si>
  <si>
    <t>Report 2, R-squared</t>
  </si>
  <si>
    <t>Report 3, BF benchmark</t>
  </si>
  <si>
    <t>Report 3, SEP benchmark</t>
  </si>
  <si>
    <t>Report 3, fitted coefficient 1</t>
  </si>
  <si>
    <t>Report 3, fitted coefficient 2</t>
  </si>
  <si>
    <t>Report 3, fitted coefficient 3</t>
  </si>
  <si>
    <t>Report 3, R-squared</t>
  </si>
  <si>
    <t>Report 4, BF benchmark</t>
  </si>
  <si>
    <t>Report 4, SEP benchmark</t>
  </si>
  <si>
    <t>Report 4, fitted coefficient 1</t>
  </si>
  <si>
    <t>Report 4, fitted coefficient 2</t>
  </si>
  <si>
    <t>Report 4, fitted coefficient 3</t>
  </si>
  <si>
    <t>Report 4, R-squared</t>
  </si>
  <si>
    <t>Report 5, BF benchmark</t>
  </si>
  <si>
    <t>Report 5, SEP benchmark</t>
  </si>
  <si>
    <t>Report 5, fitted coefficient 1</t>
  </si>
  <si>
    <t>Report 5, fitted coefficient 2</t>
  </si>
  <si>
    <t>Report 5, fitted coefficient 3</t>
  </si>
  <si>
    <t>Report 5, R-squared</t>
  </si>
  <si>
    <t>Report 6, BF benchmark</t>
  </si>
  <si>
    <t>Report 6, SEP benchmark</t>
  </si>
  <si>
    <t>Report 6, fitted coefficient 1</t>
  </si>
  <si>
    <t>Report 6, fitted coefficient 2</t>
  </si>
  <si>
    <t>Report 6, fitted coefficient 3</t>
  </si>
  <si>
    <t>Report 6, R-squared</t>
  </si>
  <si>
    <t>Report 7, BF benchmark</t>
  </si>
  <si>
    <t>Report 7, SEP benchmark</t>
  </si>
  <si>
    <t>Report 7, fitted coefficient 1</t>
  </si>
  <si>
    <t>Report 7, fitted coefficient 2</t>
  </si>
  <si>
    <t>Report 7, fitted coefficient 3</t>
  </si>
  <si>
    <t>Report 7, R-squared</t>
  </si>
  <si>
    <t>Report 8, BF benchmark</t>
  </si>
  <si>
    <t>Report 8, SEP benchmark</t>
  </si>
  <si>
    <t>Report 8, fitted coefficient 1</t>
  </si>
  <si>
    <t>Report 8, fitted coefficient 2</t>
  </si>
  <si>
    <t>Report 8, fitted coefficient 3</t>
  </si>
  <si>
    <t>Report 8, R-squared</t>
  </si>
  <si>
    <t>Report 9, BF benchmark</t>
  </si>
  <si>
    <t>Report 9, SEP benchmark</t>
  </si>
  <si>
    <t>Report 9, fitted coefficient 1</t>
  </si>
  <si>
    <t>Report 9, fitted coefficient 2</t>
  </si>
  <si>
    <t>Report 9, fitted coefficient 3</t>
  </si>
  <si>
    <t>Report 9, R-squared</t>
  </si>
  <si>
    <t>Report 10, BF benchmark</t>
  </si>
  <si>
    <t>Report 10, SEP benchmark</t>
  </si>
  <si>
    <t>Report 10, fitted coefficient 1</t>
  </si>
  <si>
    <t>Report 10, fitted coefficient 2</t>
  </si>
  <si>
    <t>Report 10, fitted coefficient 3</t>
  </si>
  <si>
    <t>Report 10, R-squared</t>
  </si>
  <si>
    <t>Report 11, BF benchmark</t>
  </si>
  <si>
    <t>Report 11, SEP benchmark</t>
  </si>
  <si>
    <t>Report 11, fitted coefficient 1</t>
  </si>
  <si>
    <t>Report 11, fitted coefficient 2</t>
  </si>
  <si>
    <t>Report 11, fitted coefficient 3</t>
  </si>
  <si>
    <t>Report 11, R-squared</t>
  </si>
  <si>
    <t>Report 12, BF benchmark</t>
  </si>
  <si>
    <t>Report 12, SEP benchmark</t>
  </si>
  <si>
    <t>Report 12, fitted coefficient 1</t>
  </si>
  <si>
    <t>Report 12, fitted coefficient 2</t>
  </si>
  <si>
    <t>Report 12, fitted coefficient 3</t>
  </si>
  <si>
    <t>Report 12, R-squared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</si>
</sst>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>
      <alignment vertical="top" wrapText="1"/>
    </xf>
    <xf numFmtId="49" fontId="1" fillId="2" borderId="1" xfId="0" applyNumberFormat="1" applyFont="1" applyFill="1" applyBorder="1" applyAlignment="1">
      <alignment horizontal="right" vertical="top" wrapText="1"/>
    </xf>
    <xf numFmtId="49" fontId="1" fillId="2" borderId="2" xfId="0" applyNumberFormat="1" applyFont="1" applyFill="1" applyBorder="1">
      <alignment vertical="top" wrapText="1"/>
    </xf>
    <xf numFmtId="0" fontId="0" fillId="2" borderId="3" xfId="0" applyNumberFormat="1" applyFill="1" applyBorder="1">
      <alignment vertical="top" wrapText="1"/>
    </xf>
    <xf numFmtId="0" fontId="0" fillId="2" borderId="4" xfId="0" applyNumberFormat="1" applyFill="1" applyBorder="1">
      <alignment vertical="top" wrapText="1"/>
    </xf>
    <xf numFmtId="164" fontId="0" fillId="2" borderId="4" xfId="0" applyNumberFormat="1" applyFill="1" applyBorder="1">
      <alignment vertical="top" wrapText="1"/>
    </xf>
    <xf numFmtId="49" fontId="0" fillId="2" borderId="4" xfId="0" applyNumberFormat="1" applyFill="1" applyBorder="1" applyAlignment="1">
      <alignment horizontal="right" vertical="top" wrapText="1"/>
    </xf>
    <xf numFmtId="0" fontId="0" fillId="2" borderId="4" xfId="0" applyFill="1" applyBorder="1">
      <alignment vertical="top" wrapText="1"/>
    </xf>
    <xf numFmtId="49" fontId="1" fillId="2" borderId="5" xfId="0" applyNumberFormat="1" applyFont="1" applyFill="1" applyBorder="1">
      <alignment vertical="top" wrapText="1"/>
    </xf>
    <xf numFmtId="0" fontId="0" fillId="2" borderId="6" xfId="0" applyNumberFormat="1" applyFill="1" applyBorder="1">
      <alignment vertical="top" wrapText="1"/>
    </xf>
    <xf numFmtId="0" fontId="0" fillId="2" borderId="7" xfId="0" applyNumberFormat="1" applyFill="1" applyBorder="1">
      <alignment vertical="top" wrapText="1"/>
    </xf>
    <xf numFmtId="164" fontId="0" fillId="2" borderId="7" xfId="0" applyNumberFormat="1" applyFill="1" applyBorder="1">
      <alignment vertical="top" wrapText="1"/>
    </xf>
    <xf numFmtId="0" fontId="0" fillId="2" borderId="7" xfId="0" applyFill="1" applyBorder="1" applyAlignment="1">
      <alignment horizontal="right" vertical="top" wrapText="1"/>
    </xf>
    <xf numFmtId="0" fontId="0" fillId="2" borderId="7" xfId="0" applyFill="1" applyBorder="1">
      <alignment vertical="top" wrapText="1"/>
    </xf>
    <xf numFmtId="164" fontId="0" fillId="3" borderId="7" xfId="0" applyNumberForma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0" fillId="2" borderId="6" xfId="0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EFE"/>
      <rgbColor rgb="FFA5A5A5"/>
      <rgbColor rgb="FF3F3F3F"/>
      <rgbColor rgb="FFD5D5D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engxiaouvic.github.io/rmBayes/news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6"/>
  <sheetViews>
    <sheetView showGridLines="0" tabSelected="1" zoomScale="130" zoomScaleNormal="130" workbookViewId="0">
      <pane xSplit="1" ySplit="1" topLeftCell="B70" activePane="bottomRight" state="frozen"/>
      <selection pane="topRight"/>
      <selection pane="bottomLeft"/>
      <selection pane="bottomRight" activeCell="E84" sqref="E84"/>
    </sheetView>
  </sheetViews>
  <sheetFormatPr baseColWidth="10" defaultColWidth="16.33203125" defaultRowHeight="20" customHeight="1" x14ac:dyDescent="0.15"/>
  <cols>
    <col min="1" max="1" width="26.1640625" style="1" customWidth="1"/>
    <col min="2" max="256" width="16.33203125" style="1" customWidth="1"/>
  </cols>
  <sheetData>
    <row r="1" spans="1:7" ht="32.25" customHeight="1" x14ac:dyDescent="0.15">
      <c r="A1" s="2"/>
      <c r="B1" s="3" t="s">
        <v>0</v>
      </c>
      <c r="C1" s="3" t="s">
        <v>1</v>
      </c>
      <c r="D1" s="3" t="s">
        <v>2</v>
      </c>
      <c r="E1" s="3" t="s">
        <v>3</v>
      </c>
      <c r="F1" s="2"/>
      <c r="G1" s="2"/>
    </row>
    <row r="2" spans="1:7" ht="56.25" customHeight="1" x14ac:dyDescent="0.15">
      <c r="A2" s="4" t="s">
        <v>4</v>
      </c>
      <c r="B2" s="5">
        <v>14.12</v>
      </c>
      <c r="C2" s="6">
        <v>14.16</v>
      </c>
      <c r="D2" s="7">
        <f t="shared" ref="D2:D7" si="0">100*(C2-B2)/B2</f>
        <v>0.28328611898017653</v>
      </c>
      <c r="E2" s="8" t="s">
        <v>5</v>
      </c>
      <c r="F2" s="9"/>
      <c r="G2" s="9"/>
    </row>
    <row r="3" spans="1:7" ht="20" customHeight="1" x14ac:dyDescent="0.15">
      <c r="A3" s="10" t="s">
        <v>6</v>
      </c>
      <c r="B3" s="11">
        <v>72.97</v>
      </c>
      <c r="C3" s="12">
        <v>73.010000000000005</v>
      </c>
      <c r="D3" s="13">
        <f t="shared" si="0"/>
        <v>5.4817048101968281E-2</v>
      </c>
      <c r="E3" s="14"/>
      <c r="F3" s="15"/>
      <c r="G3" s="15"/>
    </row>
    <row r="4" spans="1:7" ht="20" customHeight="1" x14ac:dyDescent="0.15">
      <c r="A4" s="10" t="s">
        <v>7</v>
      </c>
      <c r="B4" s="11">
        <v>-2.6</v>
      </c>
      <c r="C4" s="12">
        <v>-2.5499999999999998</v>
      </c>
      <c r="D4" s="13">
        <f t="shared" si="0"/>
        <v>-1.9230769230769333</v>
      </c>
      <c r="E4" s="14"/>
      <c r="F4" s="15"/>
      <c r="G4" s="15"/>
    </row>
    <row r="5" spans="1:7" ht="20" customHeight="1" x14ac:dyDescent="0.15">
      <c r="A5" s="10" t="s">
        <v>8</v>
      </c>
      <c r="B5" s="11">
        <v>4.8499999999999996</v>
      </c>
      <c r="C5" s="12">
        <v>4.74</v>
      </c>
      <c r="D5" s="13">
        <f t="shared" si="0"/>
        <v>-2.2680412371133905</v>
      </c>
      <c r="E5" s="14"/>
      <c r="F5" s="15"/>
      <c r="G5" s="15"/>
    </row>
    <row r="6" spans="1:7" ht="20" customHeight="1" x14ac:dyDescent="0.15">
      <c r="A6" s="10" t="s">
        <v>9</v>
      </c>
      <c r="B6" s="11">
        <v>0.439</v>
      </c>
      <c r="C6" s="12">
        <v>0.495</v>
      </c>
      <c r="D6" s="16">
        <f t="shared" si="0"/>
        <v>12.75626423690205</v>
      </c>
      <c r="E6" s="14"/>
      <c r="F6" s="15"/>
      <c r="G6" s="15"/>
    </row>
    <row r="7" spans="1:7" ht="20" customHeight="1" x14ac:dyDescent="0.15">
      <c r="A7" s="10" t="s">
        <v>10</v>
      </c>
      <c r="B7" s="11">
        <v>0.99780000000000002</v>
      </c>
      <c r="C7" s="12">
        <v>0.99829999999999997</v>
      </c>
      <c r="D7" s="13">
        <f t="shared" si="0"/>
        <v>5.0110242533568342E-2</v>
      </c>
      <c r="E7" s="14"/>
      <c r="F7" s="15"/>
      <c r="G7" s="15"/>
    </row>
    <row r="8" spans="1:7" ht="20" customHeight="1" x14ac:dyDescent="0.15">
      <c r="A8" s="17"/>
      <c r="B8" s="18"/>
      <c r="C8" s="15"/>
      <c r="D8" s="13"/>
      <c r="E8" s="14"/>
      <c r="F8" s="15"/>
      <c r="G8" s="15"/>
    </row>
    <row r="9" spans="1:7" ht="20" customHeight="1" x14ac:dyDescent="0.15">
      <c r="A9" s="10" t="s">
        <v>11</v>
      </c>
      <c r="B9" s="11">
        <v>14.45</v>
      </c>
      <c r="C9" s="12">
        <v>14.42</v>
      </c>
      <c r="D9" s="13">
        <f t="shared" ref="D9:D14" si="1">100*(C9-B9)/B9</f>
        <v>-0.20761245674740042</v>
      </c>
      <c r="E9" s="14"/>
      <c r="F9" s="15"/>
      <c r="G9" s="15"/>
    </row>
    <row r="10" spans="1:7" ht="20" customHeight="1" x14ac:dyDescent="0.15">
      <c r="A10" s="10" t="s">
        <v>12</v>
      </c>
      <c r="B10" s="11">
        <v>72.930000000000007</v>
      </c>
      <c r="C10" s="12">
        <v>72.87</v>
      </c>
      <c r="D10" s="13">
        <f t="shared" si="1"/>
        <v>-8.227067050596773E-2</v>
      </c>
      <c r="E10" s="14"/>
      <c r="F10" s="15"/>
      <c r="G10" s="15"/>
    </row>
    <row r="11" spans="1:7" ht="20" customHeight="1" x14ac:dyDescent="0.15">
      <c r="A11" s="10" t="s">
        <v>13</v>
      </c>
      <c r="B11" s="11">
        <v>-2.58</v>
      </c>
      <c r="C11" s="12">
        <v>-2.58</v>
      </c>
      <c r="D11" s="13">
        <f t="shared" si="1"/>
        <v>0</v>
      </c>
      <c r="E11" s="14"/>
      <c r="F11" s="15"/>
      <c r="G11" s="15"/>
    </row>
    <row r="12" spans="1:7" ht="20" customHeight="1" x14ac:dyDescent="0.15">
      <c r="A12" s="10" t="s">
        <v>14</v>
      </c>
      <c r="B12" s="11">
        <v>4.7699999999999996</v>
      </c>
      <c r="C12" s="12">
        <v>4.7699999999999996</v>
      </c>
      <c r="D12" s="13">
        <f t="shared" si="1"/>
        <v>0</v>
      </c>
      <c r="E12" s="14"/>
      <c r="F12" s="15"/>
      <c r="G12" s="15"/>
    </row>
    <row r="13" spans="1:7" ht="20" customHeight="1" x14ac:dyDescent="0.15">
      <c r="A13" s="10" t="s">
        <v>15</v>
      </c>
      <c r="B13" s="11">
        <v>0.51900000000000002</v>
      </c>
      <c r="C13" s="12">
        <v>0.52300000000000002</v>
      </c>
      <c r="D13" s="13">
        <f t="shared" si="1"/>
        <v>0.77071290944123383</v>
      </c>
      <c r="E13" s="14"/>
      <c r="F13" s="15"/>
      <c r="G13" s="15"/>
    </row>
    <row r="14" spans="1:7" ht="20" customHeight="1" x14ac:dyDescent="0.15">
      <c r="A14" s="10" t="s">
        <v>16</v>
      </c>
      <c r="B14" s="11">
        <v>0.99680000000000002</v>
      </c>
      <c r="C14" s="12">
        <v>0.99719999999999998</v>
      </c>
      <c r="D14" s="13">
        <f t="shared" si="1"/>
        <v>4.0128410914923349E-2</v>
      </c>
      <c r="E14" s="14"/>
      <c r="F14" s="15"/>
      <c r="G14" s="15"/>
    </row>
    <row r="15" spans="1:7" ht="20" customHeight="1" x14ac:dyDescent="0.15">
      <c r="A15" s="17"/>
      <c r="B15" s="18"/>
      <c r="C15" s="15"/>
      <c r="D15" s="13"/>
      <c r="E15" s="14"/>
      <c r="F15" s="15"/>
      <c r="G15" s="15"/>
    </row>
    <row r="16" spans="1:7" ht="20" customHeight="1" x14ac:dyDescent="0.15">
      <c r="A16" s="10" t="s">
        <v>17</v>
      </c>
      <c r="B16" s="11">
        <v>16.29</v>
      </c>
      <c r="C16" s="12">
        <v>16.350000000000001</v>
      </c>
      <c r="D16" s="13">
        <f t="shared" ref="D16:D21" si="2">100*(C16-B16)/B16</f>
        <v>0.36832412523021657</v>
      </c>
      <c r="E16" s="14"/>
      <c r="F16" s="15"/>
      <c r="G16" s="15"/>
    </row>
    <row r="17" spans="1:7" ht="20" customHeight="1" x14ac:dyDescent="0.15">
      <c r="A17" s="10" t="s">
        <v>18</v>
      </c>
      <c r="B17" s="11">
        <v>72.47</v>
      </c>
      <c r="C17" s="12">
        <v>72.45</v>
      </c>
      <c r="D17" s="13">
        <f t="shared" si="2"/>
        <v>-2.7597626604106557E-2</v>
      </c>
      <c r="E17" s="14"/>
      <c r="F17" s="15"/>
      <c r="G17" s="15"/>
    </row>
    <row r="18" spans="1:7" ht="20" customHeight="1" x14ac:dyDescent="0.15">
      <c r="A18" s="10" t="s">
        <v>19</v>
      </c>
      <c r="B18" s="11">
        <v>-2.4500000000000002</v>
      </c>
      <c r="C18" s="12">
        <v>-2.5299999999999998</v>
      </c>
      <c r="D18" s="13">
        <f t="shared" si="2"/>
        <v>3.2653061224489641</v>
      </c>
      <c r="E18" s="14"/>
      <c r="F18" s="15"/>
      <c r="G18" s="15"/>
    </row>
    <row r="19" spans="1:7" ht="20" customHeight="1" x14ac:dyDescent="0.15">
      <c r="A19" s="10" t="s">
        <v>20</v>
      </c>
      <c r="B19" s="11">
        <v>4.28</v>
      </c>
      <c r="C19" s="12">
        <v>4.46</v>
      </c>
      <c r="D19" s="13">
        <f t="shared" si="2"/>
        <v>4.2056074766355067</v>
      </c>
      <c r="E19" s="14"/>
      <c r="F19" s="15"/>
      <c r="G19" s="15"/>
    </row>
    <row r="20" spans="1:7" ht="20" customHeight="1" x14ac:dyDescent="0.15">
      <c r="A20" s="10" t="s">
        <v>21</v>
      </c>
      <c r="B20" s="11">
        <v>1.01</v>
      </c>
      <c r="C20" s="12">
        <v>0.92200000000000004</v>
      </c>
      <c r="D20" s="16">
        <f t="shared" si="2"/>
        <v>-8.71287128712871</v>
      </c>
      <c r="E20" s="14"/>
      <c r="F20" s="15"/>
      <c r="G20" s="15"/>
    </row>
    <row r="21" spans="1:7" ht="20" customHeight="1" x14ac:dyDescent="0.15">
      <c r="A21" s="10" t="s">
        <v>22</v>
      </c>
      <c r="B21" s="11">
        <v>0.99439999999999995</v>
      </c>
      <c r="C21" s="12">
        <v>0.99429999999999996</v>
      </c>
      <c r="D21" s="13">
        <f t="shared" si="2"/>
        <v>-1.0056315366048773E-2</v>
      </c>
      <c r="E21" s="14"/>
      <c r="F21" s="15"/>
      <c r="G21" s="15"/>
    </row>
    <row r="22" spans="1:7" ht="20" customHeight="1" x14ac:dyDescent="0.15">
      <c r="A22" s="17"/>
      <c r="B22" s="18"/>
      <c r="C22" s="15"/>
      <c r="D22" s="13"/>
      <c r="E22" s="14"/>
      <c r="F22" s="15"/>
      <c r="G22" s="15"/>
    </row>
    <row r="23" spans="1:7" ht="20" customHeight="1" x14ac:dyDescent="0.15">
      <c r="A23" s="10" t="s">
        <v>23</v>
      </c>
      <c r="B23" s="11">
        <v>14.11</v>
      </c>
      <c r="C23" s="12">
        <v>14.12</v>
      </c>
      <c r="D23" s="13">
        <f t="shared" ref="D23:D28" si="3">100*(C23-B23)/B23</f>
        <v>7.0871722182847541E-2</v>
      </c>
      <c r="E23" s="14"/>
      <c r="F23" s="15"/>
      <c r="G23" s="15"/>
    </row>
    <row r="24" spans="1:7" ht="20" customHeight="1" x14ac:dyDescent="0.15">
      <c r="A24" s="10" t="s">
        <v>24</v>
      </c>
      <c r="B24" s="11">
        <v>72.86</v>
      </c>
      <c r="C24" s="12">
        <v>72.930000000000007</v>
      </c>
      <c r="D24" s="13">
        <f t="shared" si="3"/>
        <v>9.6074663738687061E-2</v>
      </c>
      <c r="E24" s="14"/>
      <c r="F24" s="15"/>
      <c r="G24" s="15"/>
    </row>
    <row r="25" spans="1:7" ht="20" customHeight="1" x14ac:dyDescent="0.15">
      <c r="A25" s="10" t="s">
        <v>25</v>
      </c>
      <c r="B25" s="11">
        <v>-1.66</v>
      </c>
      <c r="C25" s="12">
        <v>-1.63</v>
      </c>
      <c r="D25" s="13">
        <f t="shared" si="3"/>
        <v>-1.8072289156626522</v>
      </c>
      <c r="E25" s="14"/>
      <c r="F25" s="15"/>
      <c r="G25" s="15"/>
    </row>
    <row r="26" spans="1:7" ht="20" customHeight="1" x14ac:dyDescent="0.15">
      <c r="A26" s="10" t="s">
        <v>26</v>
      </c>
      <c r="B26" s="11">
        <v>2.67</v>
      </c>
      <c r="C26" s="12">
        <v>2.5299999999999998</v>
      </c>
      <c r="D26" s="13">
        <f t="shared" si="3"/>
        <v>-5.2434456928838999</v>
      </c>
      <c r="E26" s="14"/>
      <c r="F26" s="15"/>
      <c r="G26" s="15"/>
    </row>
    <row r="27" spans="1:7" ht="20" customHeight="1" x14ac:dyDescent="0.15">
      <c r="A27" s="10" t="s">
        <v>27</v>
      </c>
      <c r="B27" s="11">
        <v>1.51</v>
      </c>
      <c r="C27" s="12">
        <v>1.63</v>
      </c>
      <c r="D27" s="16">
        <f t="shared" si="3"/>
        <v>7.9470198675496615</v>
      </c>
      <c r="E27" s="14"/>
      <c r="F27" s="15"/>
      <c r="G27" s="15"/>
    </row>
    <row r="28" spans="1:7" ht="20" customHeight="1" x14ac:dyDescent="0.15">
      <c r="A28" s="10" t="s">
        <v>28</v>
      </c>
      <c r="B28" s="11">
        <v>0.99280000000000002</v>
      </c>
      <c r="C28" s="12">
        <v>0.995</v>
      </c>
      <c r="D28" s="13">
        <f t="shared" si="3"/>
        <v>0.22159548751007047</v>
      </c>
      <c r="E28" s="14"/>
      <c r="F28" s="15"/>
      <c r="G28" s="15"/>
    </row>
    <row r="29" spans="1:7" ht="20" customHeight="1" x14ac:dyDescent="0.15">
      <c r="A29" s="17"/>
      <c r="B29" s="18"/>
      <c r="C29" s="15"/>
      <c r="D29" s="13"/>
      <c r="E29" s="14"/>
      <c r="F29" s="15"/>
      <c r="G29" s="15"/>
    </row>
    <row r="30" spans="1:7" ht="20" customHeight="1" x14ac:dyDescent="0.15">
      <c r="A30" s="10" t="s">
        <v>29</v>
      </c>
      <c r="B30" s="11">
        <v>14.27</v>
      </c>
      <c r="C30" s="12">
        <v>14.32</v>
      </c>
      <c r="D30" s="13">
        <f t="shared" ref="D30:D35" si="4">100*(C30-B30)/B30</f>
        <v>0.35038542396636801</v>
      </c>
      <c r="E30" s="14"/>
      <c r="F30" s="15"/>
      <c r="G30" s="15"/>
    </row>
    <row r="31" spans="1:7" ht="20" customHeight="1" x14ac:dyDescent="0.15">
      <c r="A31" s="10" t="s">
        <v>30</v>
      </c>
      <c r="B31" s="11">
        <v>72.7</v>
      </c>
      <c r="C31" s="12">
        <v>72.900000000000006</v>
      </c>
      <c r="D31" s="13">
        <f t="shared" si="4"/>
        <v>0.27510316368638627</v>
      </c>
      <c r="E31" s="14"/>
      <c r="F31" s="15"/>
      <c r="G31" s="15"/>
    </row>
    <row r="32" spans="1:7" ht="20" customHeight="1" x14ac:dyDescent="0.15">
      <c r="A32" s="10" t="s">
        <v>31</v>
      </c>
      <c r="B32" s="11">
        <v>-1.61</v>
      </c>
      <c r="C32" s="12">
        <v>-1.62</v>
      </c>
      <c r="D32" s="13">
        <f t="shared" si="4"/>
        <v>0.62111801242236075</v>
      </c>
      <c r="E32" s="14"/>
      <c r="F32" s="15"/>
      <c r="G32" s="15"/>
    </row>
    <row r="33" spans="1:7" ht="20" customHeight="1" x14ac:dyDescent="0.15">
      <c r="A33" s="10" t="s">
        <v>32</v>
      </c>
      <c r="B33" s="11">
        <v>2.42</v>
      </c>
      <c r="C33" s="12">
        <v>2.46</v>
      </c>
      <c r="D33" s="13">
        <f t="shared" si="4"/>
        <v>1.6528925619834727</v>
      </c>
      <c r="E33" s="14"/>
      <c r="F33" s="15"/>
      <c r="G33" s="15"/>
    </row>
    <row r="34" spans="1:7" ht="20" customHeight="1" x14ac:dyDescent="0.15">
      <c r="A34" s="10" t="s">
        <v>33</v>
      </c>
      <c r="B34" s="11">
        <v>1.74</v>
      </c>
      <c r="C34" s="12">
        <v>1.72</v>
      </c>
      <c r="D34" s="13">
        <f t="shared" si="4"/>
        <v>-1.1494252873563229</v>
      </c>
      <c r="E34" s="14"/>
      <c r="F34" s="15"/>
      <c r="G34" s="15"/>
    </row>
    <row r="35" spans="1:7" ht="20" customHeight="1" x14ac:dyDescent="0.15">
      <c r="A35" s="10" t="s">
        <v>34</v>
      </c>
      <c r="B35" s="11">
        <v>0.99509999999999998</v>
      </c>
      <c r="C35" s="12">
        <v>0.99570000000000003</v>
      </c>
      <c r="D35" s="13">
        <f t="shared" si="4"/>
        <v>6.0295447693703645E-2</v>
      </c>
      <c r="E35" s="14"/>
      <c r="F35" s="15"/>
      <c r="G35" s="15"/>
    </row>
    <row r="36" spans="1:7" ht="20" customHeight="1" x14ac:dyDescent="0.15">
      <c r="A36" s="17"/>
      <c r="B36" s="18"/>
      <c r="C36" s="15"/>
      <c r="D36" s="13"/>
      <c r="E36" s="14"/>
      <c r="F36" s="15"/>
      <c r="G36" s="15"/>
    </row>
    <row r="37" spans="1:7" ht="20" customHeight="1" x14ac:dyDescent="0.15">
      <c r="A37" s="10" t="s">
        <v>35</v>
      </c>
      <c r="B37" s="11">
        <v>16.12</v>
      </c>
      <c r="C37" s="12">
        <v>16.12</v>
      </c>
      <c r="D37" s="13">
        <f t="shared" ref="D37:D42" si="5">100*(C37-B37)/B37</f>
        <v>0</v>
      </c>
      <c r="E37" s="14"/>
      <c r="F37" s="15"/>
      <c r="G37" s="15"/>
    </row>
    <row r="38" spans="1:7" ht="20" customHeight="1" x14ac:dyDescent="0.15">
      <c r="A38" s="10" t="s">
        <v>36</v>
      </c>
      <c r="B38" s="11">
        <v>72.510000000000005</v>
      </c>
      <c r="C38" s="12">
        <v>72.45</v>
      </c>
      <c r="D38" s="13">
        <f t="shared" si="5"/>
        <v>-8.2747207281757371E-2</v>
      </c>
      <c r="E38" s="14"/>
      <c r="F38" s="15"/>
      <c r="G38" s="15"/>
    </row>
    <row r="39" spans="1:7" ht="20" customHeight="1" x14ac:dyDescent="0.15">
      <c r="A39" s="10" t="s">
        <v>37</v>
      </c>
      <c r="B39" s="11">
        <v>-1.59</v>
      </c>
      <c r="C39" s="12">
        <v>-1.6</v>
      </c>
      <c r="D39" s="13">
        <f t="shared" si="5"/>
        <v>0.62893081761006342</v>
      </c>
      <c r="E39" s="14"/>
      <c r="F39" s="15"/>
      <c r="G39" s="15"/>
    </row>
    <row r="40" spans="1:7" ht="20" customHeight="1" x14ac:dyDescent="0.15">
      <c r="A40" s="10" t="s">
        <v>38</v>
      </c>
      <c r="B40" s="11">
        <v>2.25</v>
      </c>
      <c r="C40" s="12">
        <v>2.27</v>
      </c>
      <c r="D40" s="13">
        <f t="shared" si="5"/>
        <v>0.88888888888888973</v>
      </c>
      <c r="E40" s="14"/>
      <c r="F40" s="15"/>
      <c r="G40" s="15"/>
    </row>
    <row r="41" spans="1:7" ht="20" customHeight="1" x14ac:dyDescent="0.15">
      <c r="A41" s="10" t="s">
        <v>39</v>
      </c>
      <c r="B41" s="11">
        <v>2.02</v>
      </c>
      <c r="C41" s="12">
        <v>1.99</v>
      </c>
      <c r="D41" s="13">
        <f t="shared" si="5"/>
        <v>-1.4851485148514865</v>
      </c>
      <c r="E41" s="14"/>
      <c r="F41" s="15"/>
      <c r="G41" s="15"/>
    </row>
    <row r="42" spans="1:7" ht="20" customHeight="1" x14ac:dyDescent="0.15">
      <c r="A42" s="10" t="s">
        <v>40</v>
      </c>
      <c r="B42" s="11">
        <v>0.99519999999999997</v>
      </c>
      <c r="C42" s="12">
        <v>0.99419999999999997</v>
      </c>
      <c r="D42" s="13">
        <f t="shared" si="5"/>
        <v>-0.10048231511254029</v>
      </c>
      <c r="E42" s="14"/>
      <c r="F42" s="15"/>
      <c r="G42" s="15"/>
    </row>
    <row r="43" spans="1:7" ht="20" customHeight="1" x14ac:dyDescent="0.15">
      <c r="A43" s="17"/>
      <c r="B43" s="18"/>
      <c r="C43" s="15"/>
      <c r="D43" s="13"/>
      <c r="E43" s="14"/>
      <c r="F43" s="15"/>
      <c r="G43" s="15"/>
    </row>
    <row r="44" spans="1:7" ht="20" customHeight="1" x14ac:dyDescent="0.15">
      <c r="A44" s="10" t="s">
        <v>41</v>
      </c>
      <c r="B44" s="11">
        <v>11.66</v>
      </c>
      <c r="C44" s="12">
        <v>11.61</v>
      </c>
      <c r="D44" s="13">
        <f t="shared" ref="D44:D49" si="6">100*(C44-B44)/B44</f>
        <v>-0.4288164665523217</v>
      </c>
      <c r="E44" s="14"/>
      <c r="F44" s="15"/>
      <c r="G44" s="15"/>
    </row>
    <row r="45" spans="1:7" ht="20" customHeight="1" x14ac:dyDescent="0.15">
      <c r="A45" s="10" t="s">
        <v>42</v>
      </c>
      <c r="B45" s="11">
        <v>79.349999999999994</v>
      </c>
      <c r="C45" s="12">
        <v>79.55</v>
      </c>
      <c r="D45" s="13">
        <f t="shared" si="6"/>
        <v>0.25204788909893239</v>
      </c>
      <c r="E45" s="14"/>
      <c r="F45" s="15"/>
      <c r="G45" s="15"/>
    </row>
    <row r="46" spans="1:7" ht="20" customHeight="1" x14ac:dyDescent="0.15">
      <c r="A46" s="10" t="s">
        <v>43</v>
      </c>
      <c r="B46" s="11">
        <v>-2.62</v>
      </c>
      <c r="C46" s="12">
        <v>-2.58</v>
      </c>
      <c r="D46" s="13">
        <f t="shared" si="6"/>
        <v>-1.5267175572519096</v>
      </c>
      <c r="E46" s="14"/>
      <c r="F46" s="15"/>
      <c r="G46" s="15"/>
    </row>
    <row r="47" spans="1:7" ht="20" customHeight="1" x14ac:dyDescent="0.15">
      <c r="A47" s="10" t="s">
        <v>44</v>
      </c>
      <c r="B47" s="11">
        <v>3.47</v>
      </c>
      <c r="C47" s="12">
        <v>3.38</v>
      </c>
      <c r="D47" s="13">
        <f t="shared" si="6"/>
        <v>-2.593659942363121</v>
      </c>
      <c r="E47" s="14"/>
      <c r="F47" s="15"/>
      <c r="G47" s="15"/>
    </row>
    <row r="48" spans="1:7" ht="20" customHeight="1" x14ac:dyDescent="0.15">
      <c r="A48" s="10" t="s">
        <v>45</v>
      </c>
      <c r="B48" s="11">
        <v>1.65</v>
      </c>
      <c r="C48" s="12">
        <v>1.69</v>
      </c>
      <c r="D48" s="13">
        <f t="shared" si="6"/>
        <v>2.4242424242424265</v>
      </c>
      <c r="E48" s="14"/>
      <c r="F48" s="15"/>
      <c r="G48" s="15"/>
    </row>
    <row r="49" spans="1:7" ht="20" customHeight="1" x14ac:dyDescent="0.15">
      <c r="A49" s="10" t="s">
        <v>46</v>
      </c>
      <c r="B49" s="11">
        <v>0.99870000000000003</v>
      </c>
      <c r="C49" s="12">
        <v>0.99890000000000001</v>
      </c>
      <c r="D49" s="13">
        <f t="shared" si="6"/>
        <v>2.0026033843994991E-2</v>
      </c>
      <c r="E49" s="14"/>
      <c r="F49" s="15"/>
      <c r="G49" s="15"/>
    </row>
    <row r="50" spans="1:7" ht="20" customHeight="1" x14ac:dyDescent="0.15">
      <c r="A50" s="17"/>
      <c r="B50" s="18"/>
      <c r="C50" s="15"/>
      <c r="D50" s="13"/>
      <c r="E50" s="14"/>
      <c r="F50" s="15"/>
      <c r="G50" s="15"/>
    </row>
    <row r="51" spans="1:7" ht="20" customHeight="1" x14ac:dyDescent="0.15">
      <c r="A51" s="10" t="s">
        <v>47</v>
      </c>
      <c r="B51" s="11">
        <v>11.68</v>
      </c>
      <c r="C51" s="12">
        <v>11.52</v>
      </c>
      <c r="D51" s="13">
        <f t="shared" ref="D51:D56" si="7">100*(C51-B51)/B51</f>
        <v>-1.3698630136986314</v>
      </c>
      <c r="E51" s="14"/>
      <c r="F51" s="15"/>
      <c r="G51" s="15"/>
    </row>
    <row r="52" spans="1:7" ht="20" customHeight="1" x14ac:dyDescent="0.15">
      <c r="A52" s="10" t="s">
        <v>48</v>
      </c>
      <c r="B52" s="11">
        <v>79.349999999999994</v>
      </c>
      <c r="C52" s="12">
        <v>79.53</v>
      </c>
      <c r="D52" s="13">
        <f t="shared" si="7"/>
        <v>0.22684310018904452</v>
      </c>
      <c r="E52" s="14"/>
      <c r="F52" s="15"/>
      <c r="G52" s="15"/>
    </row>
    <row r="53" spans="1:7" ht="20" customHeight="1" x14ac:dyDescent="0.15">
      <c r="A53" s="10" t="s">
        <v>49</v>
      </c>
      <c r="B53" s="11">
        <v>-2.59</v>
      </c>
      <c r="C53" s="12">
        <v>-2.63</v>
      </c>
      <c r="D53" s="13">
        <f t="shared" si="7"/>
        <v>1.5444015444015458</v>
      </c>
      <c r="E53" s="14"/>
      <c r="F53" s="15"/>
      <c r="G53" s="15"/>
    </row>
    <row r="54" spans="1:7" ht="20" customHeight="1" x14ac:dyDescent="0.15">
      <c r="A54" s="10" t="s">
        <v>50</v>
      </c>
      <c r="B54" s="11">
        <v>3.39</v>
      </c>
      <c r="C54" s="12">
        <v>3.46</v>
      </c>
      <c r="D54" s="13">
        <f t="shared" si="7"/>
        <v>2.0648967551622373</v>
      </c>
      <c r="E54" s="14"/>
      <c r="F54" s="15"/>
      <c r="G54" s="15"/>
    </row>
    <row r="55" spans="1:7" ht="20" customHeight="1" x14ac:dyDescent="0.15">
      <c r="A55" s="10" t="s">
        <v>51</v>
      </c>
      <c r="B55" s="11">
        <v>1.69</v>
      </c>
      <c r="C55" s="12">
        <v>1.66</v>
      </c>
      <c r="D55" s="13">
        <f t="shared" si="7"/>
        <v>-1.7751479289940846</v>
      </c>
      <c r="E55" s="14"/>
      <c r="F55" s="15"/>
      <c r="G55" s="15"/>
    </row>
    <row r="56" spans="1:7" ht="20" customHeight="1" x14ac:dyDescent="0.15">
      <c r="A56" s="10" t="s">
        <v>52</v>
      </c>
      <c r="B56" s="11">
        <v>0.99860000000000004</v>
      </c>
      <c r="C56" s="12">
        <v>0.99880000000000002</v>
      </c>
      <c r="D56" s="13">
        <f t="shared" si="7"/>
        <v>2.0028039254954732E-2</v>
      </c>
      <c r="E56" s="14"/>
      <c r="F56" s="15"/>
      <c r="G56" s="15"/>
    </row>
    <row r="57" spans="1:7" ht="20" customHeight="1" x14ac:dyDescent="0.15">
      <c r="A57" s="17"/>
      <c r="B57" s="18"/>
      <c r="C57" s="15"/>
      <c r="D57" s="13"/>
      <c r="E57" s="14"/>
      <c r="F57" s="15"/>
      <c r="G57" s="15"/>
    </row>
    <row r="58" spans="1:7" ht="20" customHeight="1" x14ac:dyDescent="0.15">
      <c r="A58" s="10" t="s">
        <v>53</v>
      </c>
      <c r="B58" s="11">
        <v>12.34</v>
      </c>
      <c r="C58" s="12">
        <v>12.21</v>
      </c>
      <c r="D58" s="13">
        <f t="shared" ref="D58:D63" si="8">100*(C58-B58)/B58</f>
        <v>-1.0534846029173339</v>
      </c>
      <c r="E58" s="14"/>
      <c r="F58" s="15"/>
      <c r="G58" s="15"/>
    </row>
    <row r="59" spans="1:7" ht="20" customHeight="1" x14ac:dyDescent="0.15">
      <c r="A59" s="10" t="s">
        <v>54</v>
      </c>
      <c r="B59" s="11">
        <v>79.08</v>
      </c>
      <c r="C59" s="12">
        <v>79.27</v>
      </c>
      <c r="D59" s="13">
        <f t="shared" si="8"/>
        <v>0.24026302478502495</v>
      </c>
      <c r="E59" s="14"/>
      <c r="F59" s="15"/>
      <c r="G59" s="15"/>
    </row>
    <row r="60" spans="1:7" ht="20" customHeight="1" x14ac:dyDescent="0.15">
      <c r="A60" s="10" t="s">
        <v>55</v>
      </c>
      <c r="B60" s="11">
        <v>-2.57</v>
      </c>
      <c r="C60" s="12">
        <v>-2.46</v>
      </c>
      <c r="D60" s="13">
        <f t="shared" si="8"/>
        <v>-4.2801556420233418</v>
      </c>
      <c r="E60" s="14"/>
      <c r="F60" s="15"/>
      <c r="G60" s="15"/>
    </row>
    <row r="61" spans="1:7" ht="20" customHeight="1" x14ac:dyDescent="0.15">
      <c r="A61" s="10" t="s">
        <v>56</v>
      </c>
      <c r="B61" s="11">
        <v>3.21</v>
      </c>
      <c r="C61" s="12">
        <v>2.98</v>
      </c>
      <c r="D61" s="16">
        <f t="shared" si="8"/>
        <v>-7.1651090342679131</v>
      </c>
      <c r="E61" s="14"/>
      <c r="F61" s="15"/>
      <c r="G61" s="15"/>
    </row>
    <row r="62" spans="1:7" ht="20" customHeight="1" x14ac:dyDescent="0.15">
      <c r="A62" s="10" t="s">
        <v>57</v>
      </c>
      <c r="B62" s="11">
        <v>1.92</v>
      </c>
      <c r="C62" s="12">
        <v>2.02</v>
      </c>
      <c r="D62" s="13">
        <f t="shared" si="8"/>
        <v>5.2083333333333384</v>
      </c>
      <c r="E62" s="14"/>
      <c r="F62" s="15"/>
      <c r="G62" s="15"/>
    </row>
    <row r="63" spans="1:7" ht="20" customHeight="1" x14ac:dyDescent="0.15">
      <c r="A63" s="10" t="s">
        <v>58</v>
      </c>
      <c r="B63" s="11">
        <v>0.99780000000000002</v>
      </c>
      <c r="C63" s="12">
        <v>0.998</v>
      </c>
      <c r="D63" s="13">
        <f t="shared" si="8"/>
        <v>2.0044097013427336E-2</v>
      </c>
      <c r="E63" s="14"/>
      <c r="F63" s="15"/>
      <c r="G63" s="15"/>
    </row>
    <row r="64" spans="1:7" ht="20" customHeight="1" x14ac:dyDescent="0.15">
      <c r="A64" s="17"/>
      <c r="B64" s="18"/>
      <c r="C64" s="15"/>
      <c r="D64" s="13"/>
      <c r="E64" s="14"/>
      <c r="F64" s="15"/>
      <c r="G64" s="15"/>
    </row>
    <row r="65" spans="1:7" ht="20" customHeight="1" x14ac:dyDescent="0.15">
      <c r="A65" s="10" t="s">
        <v>59</v>
      </c>
      <c r="B65" s="11">
        <v>11.67</v>
      </c>
      <c r="C65" s="12">
        <v>11.5</v>
      </c>
      <c r="D65" s="13">
        <f t="shared" ref="D65:D70" si="9">100*(C65-B65)/B65</f>
        <v>-1.4567266495287055</v>
      </c>
      <c r="E65" s="14"/>
      <c r="F65" s="15"/>
      <c r="G65" s="15"/>
    </row>
    <row r="66" spans="1:7" ht="20" customHeight="1" x14ac:dyDescent="0.15">
      <c r="A66" s="10" t="s">
        <v>60</v>
      </c>
      <c r="B66" s="11">
        <v>79.290000000000006</v>
      </c>
      <c r="C66" s="12">
        <v>79.489999999999995</v>
      </c>
      <c r="D66" s="13">
        <f t="shared" si="9"/>
        <v>0.25223861773236045</v>
      </c>
      <c r="E66" s="14"/>
      <c r="F66" s="15"/>
      <c r="G66" s="15"/>
    </row>
    <row r="67" spans="1:7" ht="20" customHeight="1" x14ac:dyDescent="0.15">
      <c r="A67" s="10" t="s">
        <v>61</v>
      </c>
      <c r="B67" s="11">
        <v>-1.77</v>
      </c>
      <c r="C67" s="12">
        <v>-1.78</v>
      </c>
      <c r="D67" s="13">
        <f t="shared" si="9"/>
        <v>0.56497175141242983</v>
      </c>
      <c r="E67" s="14"/>
      <c r="F67" s="15"/>
      <c r="G67" s="15"/>
    </row>
    <row r="68" spans="1:7" ht="20" customHeight="1" x14ac:dyDescent="0.15">
      <c r="A68" s="10" t="s">
        <v>62</v>
      </c>
      <c r="B68" s="11">
        <v>1.44</v>
      </c>
      <c r="C68" s="12">
        <v>1.41</v>
      </c>
      <c r="D68" s="13">
        <f t="shared" si="9"/>
        <v>-2.0833333333333353</v>
      </c>
      <c r="E68" s="14"/>
      <c r="F68" s="15"/>
      <c r="G68" s="15"/>
    </row>
    <row r="69" spans="1:7" ht="20" customHeight="1" x14ac:dyDescent="0.15">
      <c r="A69" s="10" t="s">
        <v>63</v>
      </c>
      <c r="B69" s="11">
        <v>2.72</v>
      </c>
      <c r="C69" s="12">
        <v>2.74</v>
      </c>
      <c r="D69" s="13">
        <f t="shared" si="9"/>
        <v>0.73529411764705943</v>
      </c>
      <c r="E69" s="14"/>
      <c r="F69" s="15"/>
      <c r="G69" s="15"/>
    </row>
    <row r="70" spans="1:7" ht="20" customHeight="1" x14ac:dyDescent="0.15">
      <c r="A70" s="10" t="s">
        <v>64</v>
      </c>
      <c r="B70" s="11">
        <v>0.998</v>
      </c>
      <c r="C70" s="12">
        <v>0.99850000000000005</v>
      </c>
      <c r="D70" s="13">
        <f t="shared" si="9"/>
        <v>5.0100200400807211E-2</v>
      </c>
      <c r="E70" s="14"/>
      <c r="F70" s="15"/>
      <c r="G70" s="15"/>
    </row>
    <row r="71" spans="1:7" ht="20" customHeight="1" x14ac:dyDescent="0.15">
      <c r="A71" s="17"/>
      <c r="B71" s="18"/>
      <c r="C71" s="15"/>
      <c r="D71" s="13"/>
      <c r="E71" s="14"/>
      <c r="F71" s="15"/>
      <c r="G71" s="15"/>
    </row>
    <row r="72" spans="1:7" ht="20" customHeight="1" x14ac:dyDescent="0.15">
      <c r="A72" s="10" t="s">
        <v>65</v>
      </c>
      <c r="B72" s="11">
        <v>11.76</v>
      </c>
      <c r="C72" s="12">
        <v>11.56</v>
      </c>
      <c r="D72" s="13">
        <f t="shared" ref="D72:D77" si="10">100*(C72-B72)/B72</f>
        <v>-1.7006802721088374</v>
      </c>
      <c r="E72" s="14"/>
      <c r="F72" s="15"/>
      <c r="G72" s="15"/>
    </row>
    <row r="73" spans="1:7" ht="20" customHeight="1" x14ac:dyDescent="0.15">
      <c r="A73" s="10" t="s">
        <v>66</v>
      </c>
      <c r="B73" s="11">
        <v>79.31</v>
      </c>
      <c r="C73" s="12">
        <v>79.489999999999995</v>
      </c>
      <c r="D73" s="13">
        <f t="shared" si="10"/>
        <v>0.22695750851089724</v>
      </c>
      <c r="E73" s="14"/>
      <c r="F73" s="15"/>
      <c r="G73" s="15"/>
    </row>
    <row r="74" spans="1:7" ht="20" customHeight="1" x14ac:dyDescent="0.15">
      <c r="A74" s="10" t="s">
        <v>67</v>
      </c>
      <c r="B74" s="11">
        <v>-1.78</v>
      </c>
      <c r="C74" s="12">
        <v>-1.79</v>
      </c>
      <c r="D74" s="13">
        <f t="shared" si="10"/>
        <v>0.56179775280898925</v>
      </c>
      <c r="E74" s="14"/>
      <c r="F74" s="15"/>
      <c r="G74" s="15"/>
    </row>
    <row r="75" spans="1:7" ht="20" customHeight="1" x14ac:dyDescent="0.15">
      <c r="A75" s="10" t="s">
        <v>68</v>
      </c>
      <c r="B75" s="11">
        <v>1.45</v>
      </c>
      <c r="C75" s="12">
        <v>1.45</v>
      </c>
      <c r="D75" s="13">
        <f t="shared" si="10"/>
        <v>0</v>
      </c>
      <c r="E75" s="14"/>
      <c r="F75" s="15"/>
      <c r="G75" s="15"/>
    </row>
    <row r="76" spans="1:7" ht="20" customHeight="1" x14ac:dyDescent="0.15">
      <c r="A76" s="10" t="s">
        <v>69</v>
      </c>
      <c r="B76" s="11">
        <v>2.72</v>
      </c>
      <c r="C76" s="12">
        <v>2.71</v>
      </c>
      <c r="D76" s="13">
        <f t="shared" si="10"/>
        <v>-0.36764705882353788</v>
      </c>
      <c r="E76" s="14"/>
      <c r="F76" s="15"/>
      <c r="G76" s="15"/>
    </row>
    <row r="77" spans="1:7" ht="20" customHeight="1" x14ac:dyDescent="0.15">
      <c r="A77" s="10" t="s">
        <v>70</v>
      </c>
      <c r="B77" s="11">
        <v>0.99739999999999995</v>
      </c>
      <c r="C77" s="12">
        <v>0.99850000000000005</v>
      </c>
      <c r="D77" s="13">
        <f t="shared" si="10"/>
        <v>0.11028674553840996</v>
      </c>
      <c r="E77" s="14"/>
      <c r="F77" s="15"/>
      <c r="G77" s="15"/>
    </row>
    <row r="78" spans="1:7" ht="20" customHeight="1" x14ac:dyDescent="0.15">
      <c r="A78" s="17"/>
      <c r="B78" s="18"/>
      <c r="C78" s="15"/>
      <c r="D78" s="13"/>
      <c r="E78" s="14"/>
      <c r="F78" s="15"/>
      <c r="G78" s="15"/>
    </row>
    <row r="79" spans="1:7" ht="20" customHeight="1" x14ac:dyDescent="0.15">
      <c r="A79" s="10" t="s">
        <v>71</v>
      </c>
      <c r="B79" s="11">
        <v>12.22</v>
      </c>
      <c r="C79" s="12">
        <v>12.03</v>
      </c>
      <c r="D79" s="13">
        <f t="shared" ref="D79:D84" si="11">100*(C79-B79)/B79</f>
        <v>-1.5548281505728418</v>
      </c>
      <c r="E79" s="14"/>
      <c r="F79" s="15"/>
      <c r="G79" s="15"/>
    </row>
    <row r="80" spans="1:7" ht="20" customHeight="1" x14ac:dyDescent="0.15">
      <c r="A80" s="10" t="s">
        <v>72</v>
      </c>
      <c r="B80" s="11">
        <v>79.11</v>
      </c>
      <c r="C80" s="12">
        <v>79.28</v>
      </c>
      <c r="D80" s="13">
        <f t="shared" si="11"/>
        <v>0.21489065857666756</v>
      </c>
      <c r="E80" s="14"/>
      <c r="F80" s="15"/>
      <c r="G80" s="15"/>
    </row>
    <row r="81" spans="1:7" ht="20" customHeight="1" x14ac:dyDescent="0.15">
      <c r="A81" s="10" t="s">
        <v>73</v>
      </c>
      <c r="B81" s="11">
        <v>-1.77</v>
      </c>
      <c r="C81" s="12">
        <v>-1.76</v>
      </c>
      <c r="D81" s="13">
        <f t="shared" si="11"/>
        <v>-0.56497175141242983</v>
      </c>
      <c r="E81" s="14"/>
      <c r="F81" s="15"/>
      <c r="G81" s="15"/>
    </row>
    <row r="82" spans="1:7" ht="20" customHeight="1" x14ac:dyDescent="0.15">
      <c r="A82" s="10" t="s">
        <v>74</v>
      </c>
      <c r="B82" s="11">
        <v>1.38</v>
      </c>
      <c r="C82" s="12">
        <v>1.29</v>
      </c>
      <c r="D82" s="16">
        <f t="shared" si="11"/>
        <v>-6.5217391304347725</v>
      </c>
      <c r="E82" s="14"/>
      <c r="F82" s="15"/>
      <c r="G82" s="15"/>
    </row>
    <row r="83" spans="1:7" ht="20" customHeight="1" x14ac:dyDescent="0.15">
      <c r="A83" s="10" t="s">
        <v>75</v>
      </c>
      <c r="B83" s="11">
        <v>2.83</v>
      </c>
      <c r="C83" s="12">
        <v>2.9</v>
      </c>
      <c r="D83" s="13">
        <f t="shared" si="11"/>
        <v>2.4734982332155422</v>
      </c>
      <c r="E83" s="14"/>
      <c r="F83" s="15"/>
      <c r="G83" s="15"/>
    </row>
    <row r="84" spans="1:7" ht="20" customHeight="1" x14ac:dyDescent="0.15">
      <c r="A84" s="10" t="s">
        <v>76</v>
      </c>
      <c r="B84" s="11">
        <v>0.99760000000000004</v>
      </c>
      <c r="C84" s="12">
        <v>0.99829999999999997</v>
      </c>
      <c r="D84" s="13">
        <f t="shared" si="11"/>
        <v>7.0168404170000281E-2</v>
      </c>
      <c r="E84" s="14"/>
      <c r="F84" s="15"/>
      <c r="G84" s="15"/>
    </row>
    <row r="85" spans="1:7" ht="20" customHeight="1" x14ac:dyDescent="0.15">
      <c r="A85" s="17"/>
      <c r="B85" s="18"/>
      <c r="C85" s="15"/>
      <c r="D85" s="13"/>
      <c r="E85" s="14"/>
      <c r="F85" s="15"/>
      <c r="G85" s="15"/>
    </row>
    <row r="86" spans="1:7" ht="20" customHeight="1" x14ac:dyDescent="0.15">
      <c r="A86" s="17"/>
      <c r="B86" s="18"/>
      <c r="C86" s="15"/>
      <c r="D86" s="13"/>
      <c r="E86" s="14"/>
      <c r="F86" s="15"/>
      <c r="G86" s="15"/>
    </row>
  </sheetData>
  <hyperlinks>
    <hyperlink ref="E2" r:id="rId1" xr:uid="{00000000-0004-0000-0000-000000000000}"/>
  </hyperlink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2022-10-13T07:59:30Z</dcterms:modified>
</cp:coreProperties>
</file>